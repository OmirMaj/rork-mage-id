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Conservative" sheetId="3" state="visible" r:id="rId3"/>
    <sheet name="Realistic" sheetId="4" state="visible" r:id="rId4"/>
    <sheet name="Optimistic" sheetId="5" state="visible" r:id="rId5"/>
    <sheet name="Y1 Monthly" sheetId="6" state="visible" r:id="rId6"/>
    <sheet name="Unit Economics" sheetId="7" state="visible" r:id="rId7"/>
    <sheet name="KPI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&quot;$&quot;#,##0;(&quot;$&quot;#,##0);&quot;-&quot;"/>
    <numFmt numFmtId="166" formatCode="0.0%;(0.0%);&quot;-&quot;"/>
    <numFmt numFmtId="167" formatCode="&quot;$&quot;#,##0.00;(&quot;$&quot;#,##0.00);&quot;-&quot;"/>
    <numFmt numFmtId="168" formatCode="0.0&quot; months&quot;"/>
  </numFmts>
  <fonts count="33">
    <font>
      <name val="Calibri"/>
      <family val="2"/>
      <color theme="1"/>
      <sz val="11"/>
      <scheme val="minor"/>
    </font>
    <font>
      <name val="Arial"/>
      <b val="1"/>
      <color rgb="001F3A5F"/>
      <sz val="36"/>
    </font>
    <font>
      <name val="Arial"/>
      <i val="1"/>
      <color rgb="006B7280"/>
      <sz val="12"/>
    </font>
    <font>
      <name val="Arial"/>
      <b val="1"/>
      <color rgb="001A1A1A"/>
      <sz val="18"/>
    </font>
    <font>
      <name val="Arial"/>
      <b val="1"/>
      <color rgb="00FF6A1A"/>
      <sz val="12"/>
    </font>
    <font>
      <name val="Arial"/>
      <color rgb="006B7280"/>
      <sz val="10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b val="1"/>
      <color rgb="00FF6A1A"/>
    </font>
    <font>
      <name val="Arial"/>
      <color rgb="001A1A1A"/>
      <sz val="10"/>
    </font>
    <font>
      <name val="Arial"/>
      <b val="1"/>
      <color rgb="001F3A5F"/>
      <sz val="14"/>
    </font>
    <font>
      <name val="Arial"/>
      <b val="1"/>
      <color rgb="00FFFFFF"/>
      <sz val="11"/>
    </font>
    <font>
      <name val="Arial"/>
      <b val="1"/>
      <color rgb="001A1A1A"/>
      <sz val="11"/>
    </font>
    <font>
      <name val="Arial"/>
      <color rgb="00008000"/>
      <sz val="11"/>
    </font>
    <font>
      <name val="Arial"/>
      <b val="1"/>
      <color rgb="00008000"/>
      <sz val="11"/>
    </font>
    <font>
      <name val="Arial"/>
      <b val="1"/>
      <color rgb="001F3A5F"/>
      <sz val="18"/>
    </font>
    <font>
      <name val="Arial"/>
      <color rgb="001A1A1A"/>
      <sz val="11"/>
    </font>
    <font>
      <name val="Arial"/>
      <b val="1"/>
      <color rgb="000000FF"/>
      <sz val="11"/>
    </font>
    <font>
      <name val="Arial"/>
      <b val="1"/>
      <color rgb="001A1A1A"/>
    </font>
    <font>
      <name val="Arial"/>
      <b val="1"/>
      <color rgb="00000000"/>
    </font>
    <font>
      <name val="Arial"/>
      <b val="1"/>
      <color rgb="000000FF"/>
    </font>
    <font>
      <name val="Arial"/>
      <color rgb="001A1A1A"/>
    </font>
    <font>
      <name val="Arial"/>
      <b val="1"/>
      <color rgb="001F3A5F"/>
      <sz val="16"/>
    </font>
    <font>
      <name val="Arial"/>
      <b val="1"/>
      <color rgb="00000000"/>
      <sz val="11"/>
    </font>
    <font>
      <name val="Arial"/>
      <color rgb="00000000"/>
      <sz val="11"/>
    </font>
    <font>
      <name val="Arial"/>
      <i val="1"/>
      <color rgb="006B7280"/>
      <sz val="11"/>
    </font>
    <font>
      <name val="Arial"/>
      <b val="1"/>
      <color rgb="00FFFFFF"/>
    </font>
    <font>
      <name val="Arial"/>
      <color rgb="00008000"/>
    </font>
    <font>
      <name val="Arial"/>
      <b val="1"/>
      <color rgb="00008000"/>
    </font>
    <font>
      <name val="Arial"/>
      <color rgb="00000000"/>
    </font>
    <font>
      <name val="Arial"/>
      <i val="1"/>
      <color rgb="006B7280"/>
    </font>
    <font>
      <name val="Arial"/>
      <b val="1"/>
      <color rgb="001F3A5F"/>
      <sz val="11"/>
    </font>
    <font>
      <name val="Arial"/>
      <b val="1"/>
      <color rgb="00FF6A1A"/>
      <sz val="11"/>
    </font>
  </fonts>
  <fills count="10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6A1A"/>
        <bgColor rgb="00FF6A1A"/>
      </patternFill>
    </fill>
    <fill>
      <patternFill patternType="solid">
        <fgColor rgb="00FFFFFF"/>
        <bgColor rgb="00FFFFFF"/>
      </patternFill>
    </fill>
    <fill>
      <patternFill patternType="solid">
        <fgColor rgb="00FFF4ED"/>
        <bgColor rgb="00FFF4ED"/>
      </patternFill>
    </fill>
    <fill>
      <patternFill patternType="solid">
        <fgColor rgb="00F5F7FA"/>
        <bgColor rgb="00F5F7FA"/>
      </patternFill>
    </fill>
    <fill>
      <patternFill patternType="solid">
        <fgColor rgb="00FFFF99"/>
        <bgColor rgb="00FFFF99"/>
      </patternFill>
    </fill>
    <fill>
      <patternFill patternType="solid">
        <fgColor rgb="00FEEAEA"/>
        <bgColor rgb="00FEEAEA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164" fontId="13" fillId="0" borderId="1" applyAlignment="1" pivotButton="0" quotePrefix="0" xfId="0">
      <alignment horizontal="right" vertical="center" wrapText="1"/>
    </xf>
    <xf numFmtId="164" fontId="14" fillId="5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left" vertical="center" wrapText="1"/>
    </xf>
    <xf numFmtId="165" fontId="13" fillId="6" borderId="1" applyAlignment="1" pivotButton="0" quotePrefix="0" xfId="0">
      <alignment horizontal="right" vertical="center" wrapText="1"/>
    </xf>
    <xf numFmtId="165" fontId="14" fillId="5" borderId="1" applyAlignment="1" pivotButton="0" quotePrefix="0" xfId="0">
      <alignment horizontal="right" vertical="center" wrapText="1"/>
    </xf>
    <xf numFmtId="166" fontId="13" fillId="0" borderId="1" applyAlignment="1" pivotButton="0" quotePrefix="0" xfId="0">
      <alignment horizontal="right" vertical="center" wrapText="1"/>
    </xf>
    <xf numFmtId="166" fontId="14" fillId="5" borderId="1" applyAlignment="1" pivotButton="0" quotePrefix="0" xfId="0">
      <alignment horizontal="right" vertical="center" wrapText="1"/>
    </xf>
    <xf numFmtId="165" fontId="13" fillId="0" borderId="1" applyAlignment="1" pivotButton="0" quotePrefix="0" xfId="0">
      <alignment horizontal="right" vertical="center" wrapText="1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 wrapText="1"/>
    </xf>
    <xf numFmtId="165" fontId="17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  <xf numFmtId="167" fontId="17" fillId="0" borderId="1" applyAlignment="1" pivotButton="0" quotePrefix="0" xfId="0">
      <alignment horizontal="right" vertical="center" wrapText="1"/>
    </xf>
    <xf numFmtId="166" fontId="17" fillId="0" borderId="1" applyAlignment="1" pivotButton="0" quotePrefix="0" xfId="0">
      <alignment horizontal="right" vertical="center" wrapText="1"/>
    </xf>
    <xf numFmtId="0" fontId="18" fillId="0" borderId="0" pivotButton="0" quotePrefix="0" xfId="0"/>
    <xf numFmtId="166" fontId="19" fillId="0" borderId="1" applyAlignment="1" pivotButton="0" quotePrefix="0" xfId="0">
      <alignment horizontal="right" vertical="center" wrapText="1"/>
    </xf>
    <xf numFmtId="166" fontId="17" fillId="7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164" fontId="20" fillId="7" borderId="1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left" vertical="center" wrapText="1"/>
    </xf>
    <xf numFmtId="167" fontId="19" fillId="0" borderId="1" applyAlignment="1" pivotButton="0" quotePrefix="0" xfId="0">
      <alignment horizontal="right" vertical="center" wrapText="1"/>
    </xf>
    <xf numFmtId="165" fontId="19" fillId="0" borderId="1" applyAlignment="1" pivotButton="0" quotePrefix="0" xfId="0">
      <alignment horizontal="right" vertical="center" wrapText="1"/>
    </xf>
    <xf numFmtId="0" fontId="22" fillId="0" borderId="0" pivotButton="0" quotePrefix="0" xfId="0"/>
    <xf numFmtId="0" fontId="16" fillId="0" borderId="1" applyAlignment="1" pivotButton="0" quotePrefix="0" xfId="0">
      <alignment horizontal="left" vertical="center" wrapText="1"/>
    </xf>
    <xf numFmtId="167" fontId="13" fillId="0" borderId="1" applyAlignment="1" pivotButton="0" quotePrefix="0" xfId="0">
      <alignment horizontal="right" vertical="center" wrapText="1"/>
    </xf>
    <xf numFmtId="0" fontId="12" fillId="5" borderId="1" applyAlignment="1" pivotButton="0" quotePrefix="0" xfId="0">
      <alignment horizontal="left" vertical="center" wrapText="1"/>
    </xf>
    <xf numFmtId="165" fontId="23" fillId="5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 wrapText="1"/>
    </xf>
    <xf numFmtId="165" fontId="24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left" vertical="center" wrapText="1"/>
    </xf>
    <xf numFmtId="165" fontId="11" fillId="2" borderId="1" applyAlignment="1" pivotButton="0" quotePrefix="0" xfId="0">
      <alignment horizontal="right" vertical="center" wrapText="1"/>
    </xf>
    <xf numFmtId="165" fontId="11" fillId="3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left" vertical="center" wrapText="1"/>
    </xf>
    <xf numFmtId="166" fontId="2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right" vertical="center" wrapText="1"/>
    </xf>
    <xf numFmtId="164" fontId="24" fillId="0" borderId="1" applyAlignment="1" pivotButton="0" quotePrefix="0" xfId="0">
      <alignment horizontal="right" vertical="center" wrapText="1"/>
    </xf>
    <xf numFmtId="164" fontId="23" fillId="5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center" vertical="center" wrapText="1"/>
    </xf>
    <xf numFmtId="164" fontId="26" fillId="2" borderId="1" applyAlignment="1" pivotButton="0" quotePrefix="0" xfId="0">
      <alignment horizontal="right" vertical="center" wrapText="1"/>
    </xf>
    <xf numFmtId="164" fontId="26" fillId="3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left" vertical="center" wrapText="1"/>
    </xf>
    <xf numFmtId="165" fontId="27" fillId="0" borderId="1" applyAlignment="1" pivotButton="0" quotePrefix="0" xfId="0">
      <alignment horizontal="right" vertical="center" wrapText="1"/>
    </xf>
    <xf numFmtId="167" fontId="28" fillId="5" borderId="1" applyAlignment="1" pivotButton="0" quotePrefix="0" xfId="0">
      <alignment horizontal="right" vertical="center" wrapText="1"/>
    </xf>
    <xf numFmtId="167" fontId="29" fillId="0" borderId="1" applyAlignment="1" pivotButton="0" quotePrefix="0" xfId="0">
      <alignment horizontal="right" vertical="center" wrapText="1"/>
    </xf>
    <xf numFmtId="167" fontId="19" fillId="5" borderId="1" applyAlignment="1" pivotButton="0" quotePrefix="0" xfId="0">
      <alignment horizontal="right" vertical="center" wrapText="1"/>
    </xf>
    <xf numFmtId="0" fontId="30" fillId="0" borderId="1" applyAlignment="1" pivotButton="0" quotePrefix="0" xfId="0">
      <alignment horizontal="left" vertical="center" wrapText="1"/>
    </xf>
    <xf numFmtId="166" fontId="30" fillId="0" borderId="1" applyAlignment="1" pivotButton="0" quotePrefix="0" xfId="0">
      <alignment horizontal="right" vertical="center" wrapText="1"/>
    </xf>
    <xf numFmtId="168" fontId="19" fillId="0" borderId="1" applyAlignment="1" pivotButton="0" quotePrefix="0" xfId="0">
      <alignment horizontal="right" vertical="center" wrapText="1"/>
    </xf>
    <xf numFmtId="165" fontId="19" fillId="5" borderId="1" applyAlignment="1" pivotButton="0" quotePrefix="0" xfId="0">
      <alignment horizontal="right" vertical="center" wrapText="1"/>
    </xf>
    <xf numFmtId="165" fontId="29" fillId="0" borderId="1" applyAlignment="1" pivotButton="0" quotePrefix="0" xfId="0">
      <alignment horizontal="right" vertical="center" wrapText="1"/>
    </xf>
    <xf numFmtId="0" fontId="21" fillId="0" borderId="1" applyAlignment="1" pivotButton="0" quotePrefix="0" xfId="0">
      <alignment horizontal="righ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right" vertical="center" wrapText="1"/>
    </xf>
    <xf numFmtId="0" fontId="31" fillId="6" borderId="1" pivotButton="0" quotePrefix="0" xfId="0"/>
    <xf numFmtId="0" fontId="0" fillId="6" borderId="1" pivotButton="0" quotePrefix="0" xfId="0"/>
    <xf numFmtId="164" fontId="20" fillId="0" borderId="1" applyAlignment="1" pivotButton="0" quotePrefix="0" xfId="0">
      <alignment horizontal="right" vertical="center" wrapText="1"/>
    </xf>
    <xf numFmtId="164" fontId="21" fillId="8" borderId="1" applyAlignment="1" pivotButton="0" quotePrefix="0" xfId="0">
      <alignment horizontal="right" vertical="center" wrapText="1"/>
    </xf>
    <xf numFmtId="164" fontId="21" fillId="9" borderId="1" applyAlignment="1" pivotButton="0" quotePrefix="0" xfId="0">
      <alignment horizontal="right" vertical="center" wrapText="1"/>
    </xf>
    <xf numFmtId="164" fontId="21" fillId="5" borderId="1" applyAlignment="1" pivotButton="0" quotePrefix="0" xfId="0">
      <alignment horizontal="right" vertical="center" wrapText="1"/>
    </xf>
    <xf numFmtId="166" fontId="28" fillId="0" borderId="1" applyAlignment="1" pivotButton="0" quotePrefix="0" xfId="0">
      <alignment horizontal="right" vertical="center" wrapText="1"/>
    </xf>
    <xf numFmtId="166" fontId="21" fillId="8" borderId="1" applyAlignment="1" pivotButton="0" quotePrefix="0" xfId="0">
      <alignment horizontal="right" vertical="center" wrapText="1"/>
    </xf>
    <xf numFmtId="166" fontId="21" fillId="9" borderId="1" applyAlignment="1" pivotButton="0" quotePrefix="0" xfId="0">
      <alignment horizontal="right" vertical="center" wrapText="1"/>
    </xf>
    <xf numFmtId="166" fontId="21" fillId="5" borderId="1" applyAlignment="1" pivotButton="0" quotePrefix="0" xfId="0">
      <alignment horizontal="right" vertical="center" wrapText="1"/>
    </xf>
    <xf numFmtId="166" fontId="20" fillId="0" borderId="1" applyAlignment="1" pivotButton="0" quotePrefix="0" xfId="0">
      <alignment horizontal="right" vertical="center" wrapText="1"/>
    </xf>
    <xf numFmtId="165" fontId="28" fillId="0" borderId="1" applyAlignment="1" pivotButton="0" quotePrefix="0" xfId="0">
      <alignment horizontal="right" vertical="center" wrapText="1"/>
    </xf>
    <xf numFmtId="165" fontId="21" fillId="8" borderId="1" applyAlignment="1" pivotButton="0" quotePrefix="0" xfId="0">
      <alignment horizontal="right" vertical="center" wrapText="1"/>
    </xf>
    <xf numFmtId="165" fontId="21" fillId="9" borderId="1" applyAlignment="1" pivotButton="0" quotePrefix="0" xfId="0">
      <alignment horizontal="right" vertical="center" wrapText="1"/>
    </xf>
    <xf numFmtId="165" fontId="21" fillId="5" borderId="1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MAGE ID</t>
        </is>
      </c>
    </row>
    <row r="3">
      <c r="B3" s="2" t="inlineStr">
        <is>
          <t>Construction Operating System for the Modern GC</t>
        </is>
      </c>
    </row>
    <row r="5">
      <c r="B5" s="3" t="inlineStr">
        <is>
          <t>Three-Year Business Projection &amp; Strategic Plan</t>
        </is>
      </c>
    </row>
    <row r="6">
      <c r="B6" s="4" t="inlineStr">
        <is>
          <t>May 2026 — April 2029</t>
        </is>
      </c>
    </row>
    <row r="8">
      <c r="B8" s="5" t="inlineStr">
        <is>
          <t>Prepared: May 6, 2026</t>
        </is>
      </c>
    </row>
    <row r="9">
      <c r="B9" s="6" t="inlineStr">
        <is>
          <t>Built by a 25-year general contractor with input from 100+ contractors</t>
        </is>
      </c>
    </row>
    <row r="11">
      <c r="B11" s="7" t="inlineStr">
        <is>
          <t>How to use this model</t>
        </is>
      </c>
    </row>
    <row r="12">
      <c r="B12" s="8" t="inlineStr">
        <is>
          <t>1.</t>
        </is>
      </c>
      <c r="C12" s="9" t="inlineStr">
        <is>
          <t>Open the Assumptions tab. Cells in BLUE are the only inputs you should change.</t>
        </is>
      </c>
    </row>
    <row r="13">
      <c r="B13" s="8" t="inlineStr">
        <is>
          <t>2.</t>
        </is>
      </c>
      <c r="C13" s="9" t="inlineStr">
        <is>
          <t>Yellow-highlighted cells are the most leverage-bearing assumptions. Change those first to see scenario effects.</t>
        </is>
      </c>
    </row>
    <row r="14">
      <c r="B14" s="8" t="inlineStr">
        <is>
          <t>3.</t>
        </is>
      </c>
      <c r="C14" s="9" t="inlineStr">
        <is>
          <t>Every other tab pulls from Assumptions via formulas. Outputs update automatically.</t>
        </is>
      </c>
    </row>
    <row r="15">
      <c r="B15" s="8" t="inlineStr">
        <is>
          <t>4.</t>
        </is>
      </c>
      <c r="C15" s="9" t="inlineStr">
        <is>
          <t>Realistic / Conservative / Optimistic tabs show three pre-built scenarios.</t>
        </is>
      </c>
    </row>
    <row r="16">
      <c r="B16" s="8" t="inlineStr">
        <is>
          <t>5.</t>
        </is>
      </c>
      <c r="C16" s="9" t="inlineStr">
        <is>
          <t>Y1 Monthly tab is the granular conversion ramp underlying Y1 numbers.</t>
        </is>
      </c>
    </row>
    <row r="17">
      <c r="B17" s="8" t="inlineStr">
        <is>
          <t>6.</t>
        </is>
      </c>
      <c r="C17" s="9" t="inlineStr">
        <is>
          <t>KPIs tab is what you should be tracking weekly to know which scenario you're tracking toward.</t>
        </is>
      </c>
    </row>
    <row r="20">
      <c r="B20" s="10" t="inlineStr">
        <is>
          <t>Bottom-line summary across scenarios</t>
        </is>
      </c>
    </row>
    <row r="22">
      <c r="B22" s="11" t="inlineStr">
        <is>
          <t>Metric</t>
        </is>
      </c>
      <c r="C22" s="11" t="inlineStr">
        <is>
          <t>Conservative</t>
        </is>
      </c>
      <c r="D22" s="12" t="inlineStr">
        <is>
          <t>Realistic</t>
        </is>
      </c>
      <c r="E22" s="11" t="inlineStr">
        <is>
          <t>Optimistic</t>
        </is>
      </c>
    </row>
    <row r="23">
      <c r="B23" s="13" t="inlineStr">
        <is>
          <t>Y1 paying users (EOY)</t>
        </is>
      </c>
      <c r="C23" s="14">
        <f>Conservative!C13</f>
        <v/>
      </c>
      <c r="D23" s="15">
        <f>Realistic!C13</f>
        <v/>
      </c>
      <c r="E23" s="14">
        <f>Optimistic!C13</f>
        <v/>
      </c>
    </row>
    <row r="24">
      <c r="B24" s="16" t="inlineStr">
        <is>
          <t>Y1 ARR</t>
        </is>
      </c>
      <c r="C24" s="17">
        <f>Conservative!C24</f>
        <v/>
      </c>
      <c r="D24" s="18">
        <f>Realistic!C24</f>
        <v/>
      </c>
      <c r="E24" s="17">
        <f>Optimistic!C24</f>
        <v/>
      </c>
    </row>
    <row r="25">
      <c r="B25" s="13" t="inlineStr">
        <is>
          <t>Y2 paying users (EOY)</t>
        </is>
      </c>
      <c r="C25" s="14">
        <f>Conservative!D13</f>
        <v/>
      </c>
      <c r="D25" s="15">
        <f>Realistic!D13</f>
        <v/>
      </c>
      <c r="E25" s="14">
        <f>Optimistic!D13</f>
        <v/>
      </c>
    </row>
    <row r="26">
      <c r="B26" s="16" t="inlineStr">
        <is>
          <t>Y2 ARR</t>
        </is>
      </c>
      <c r="C26" s="17">
        <f>Conservative!D24</f>
        <v/>
      </c>
      <c r="D26" s="18">
        <f>Realistic!D24</f>
        <v/>
      </c>
      <c r="E26" s="17">
        <f>Optimistic!D24</f>
        <v/>
      </c>
    </row>
    <row r="27">
      <c r="B27" s="13" t="inlineStr">
        <is>
          <t>Y3 paying users (EOY)</t>
        </is>
      </c>
      <c r="C27" s="14">
        <f>Conservative!E13</f>
        <v/>
      </c>
      <c r="D27" s="15">
        <f>Realistic!E13</f>
        <v/>
      </c>
      <c r="E27" s="14">
        <f>Optimistic!E13</f>
        <v/>
      </c>
    </row>
    <row r="28">
      <c r="B28" s="16" t="inlineStr">
        <is>
          <t>Y3 ARR</t>
        </is>
      </c>
      <c r="C28" s="17">
        <f>Conservative!E24</f>
        <v/>
      </c>
      <c r="D28" s="18">
        <f>Realistic!E24</f>
        <v/>
      </c>
      <c r="E28" s="17">
        <f>Optimistic!E24</f>
        <v/>
      </c>
    </row>
    <row r="29">
      <c r="B29" s="13" t="inlineStr">
        <is>
          <t>Y3 net margin</t>
        </is>
      </c>
      <c r="C29" s="19">
        <f>Conservative!E22</f>
        <v/>
      </c>
      <c r="D29" s="20">
        <f>Realistic!E22</f>
        <v/>
      </c>
      <c r="E29" s="19">
        <f>Optimistic!E22</f>
        <v/>
      </c>
    </row>
    <row r="30">
      <c r="B30" s="16" t="inlineStr">
        <is>
          <t>Y3 net takehome</t>
        </is>
      </c>
      <c r="C30" s="17">
        <f>Conservative!E21</f>
        <v/>
      </c>
      <c r="D30" s="18">
        <f>Realistic!E21</f>
        <v/>
      </c>
      <c r="E30" s="17">
        <f>Optimistic!E21</f>
        <v/>
      </c>
    </row>
    <row r="31">
      <c r="B31" s="13" t="inlineStr">
        <is>
          <t>3-yr cumulative net</t>
        </is>
      </c>
      <c r="C31" s="21">
        <f>Conservative!F21</f>
        <v/>
      </c>
      <c r="D31" s="18">
        <f>Realistic!F21</f>
        <v/>
      </c>
      <c r="E31" s="21">
        <f>Optimistic!F21</f>
        <v/>
      </c>
    </row>
  </sheetData>
  <mergeCells count="6">
    <mergeCell ref="C12:G12"/>
    <mergeCell ref="C16:G16"/>
    <mergeCell ref="C15:G15"/>
    <mergeCell ref="C14:G14"/>
    <mergeCell ref="C13:G13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7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50" customWidth="1" min="4" max="4"/>
  </cols>
  <sheetData>
    <row r="2">
      <c r="B2" s="22" t="inlineStr">
        <is>
          <t>INPUT ASSUMPTIONS</t>
        </is>
      </c>
    </row>
    <row r="3">
      <c r="B3" s="6" t="inlineStr">
        <is>
          <t>Edit BLUE cells only. Yellow-highlighted = highest leverage.</t>
        </is>
      </c>
    </row>
    <row r="4">
      <c r="B4" s="6" t="inlineStr">
        <is>
          <t>Every other sheet pulls from here via formulas.</t>
        </is>
      </c>
    </row>
    <row r="6">
      <c r="B6" s="7" t="inlineStr">
        <is>
          <t>PRICING (monthly subscription)</t>
        </is>
      </c>
    </row>
    <row r="7">
      <c r="B7" s="23" t="inlineStr">
        <is>
          <t>Pro tier $/mo</t>
        </is>
      </c>
      <c r="C7" s="24" t="n">
        <v>29</v>
      </c>
      <c r="D7" s="25" t="inlineStr">
        <is>
          <t>Apple price tier 29</t>
        </is>
      </c>
    </row>
    <row r="8">
      <c r="B8" s="23" t="inlineStr">
        <is>
          <t>Business tier $/mo</t>
        </is>
      </c>
      <c r="C8" s="24" t="n">
        <v>79</v>
      </c>
      <c r="D8" s="25" t="inlineStr">
        <is>
          <t>Apple price tier 79</t>
        </is>
      </c>
    </row>
    <row r="9">
      <c r="B9" s="23" t="inlineStr">
        <is>
          <t>Enterprise tier $/mo</t>
        </is>
      </c>
      <c r="C9" s="26" t="n">
        <v>149.99</v>
      </c>
      <c r="D9" s="25" t="inlineStr">
        <is>
          <t>Apple price tier 150 = $149.99</t>
        </is>
      </c>
    </row>
    <row r="11">
      <c r="B11" s="7" t="inlineStr">
        <is>
          <t>TIER MIX (% of paying users)</t>
        </is>
      </c>
    </row>
    <row r="12">
      <c r="B12" s="23" t="inlineStr">
        <is>
          <t>% Pro</t>
        </is>
      </c>
      <c r="C12" s="27" t="n">
        <v>0.65</v>
      </c>
      <c r="D12" s="25" t="inlineStr">
        <is>
          <t>Industry benchmark for SMB SaaS lower tier</t>
        </is>
      </c>
    </row>
    <row r="13">
      <c r="B13" s="23" t="inlineStr">
        <is>
          <t>% Business</t>
        </is>
      </c>
      <c r="C13" s="27" t="n">
        <v>0.25</v>
      </c>
    </row>
    <row r="14">
      <c r="B14" s="23" t="inlineStr">
        <is>
          <t>% Enterprise</t>
        </is>
      </c>
      <c r="C14" s="27" t="n">
        <v>0.1</v>
      </c>
      <c r="D14" s="25" t="inlineStr">
        <is>
          <t>Heavy AI users / multi-team firms</t>
        </is>
      </c>
    </row>
    <row r="15">
      <c r="B15" s="28" t="inlineStr">
        <is>
          <t>Sum check</t>
        </is>
      </c>
      <c r="C15" s="29">
        <f>C12+C13+C14</f>
        <v/>
      </c>
    </row>
    <row r="17">
      <c r="B17" s="7" t="inlineStr">
        <is>
          <t>FUNNEL &amp; RETENTION</t>
        </is>
      </c>
    </row>
    <row r="18">
      <c r="B18" s="23" t="inlineStr">
        <is>
          <t>Free → paid conversion %</t>
        </is>
      </c>
      <c r="C18" s="30" t="n">
        <v>0.08500000000000001</v>
      </c>
      <c r="D18" s="25" t="inlineStr">
        <is>
          <t>Industry SMB SaaS: 5-12%</t>
        </is>
      </c>
    </row>
    <row r="19">
      <c r="B19" s="23" t="inlineStr">
        <is>
          <t>Monthly logo churn</t>
        </is>
      </c>
      <c r="C19" s="30" t="n">
        <v>0.05</v>
      </c>
      <c r="D19" s="25" t="inlineStr">
        <is>
          <t>5%/mo realistic / 3%/mo opt / 7%/mo cons</t>
        </is>
      </c>
    </row>
    <row r="20">
      <c r="B20" s="23" t="inlineStr">
        <is>
          <t>Annual subscription mix</t>
        </is>
      </c>
      <c r="C20" s="27" t="n">
        <v>0.3</v>
      </c>
      <c r="D20" s="25" t="inlineStr">
        <is>
          <t>% of subs that buy annual</t>
        </is>
      </c>
    </row>
    <row r="21">
      <c r="B21" s="23" t="inlineStr">
        <is>
          <t>Blended annual discount %</t>
        </is>
      </c>
      <c r="C21" s="27" t="n">
        <v>0.197</v>
      </c>
      <c r="D21" s="25" t="inlineStr">
        <is>
          <t>0.65×17% + 0.25×17% + 0.10×44.4% (Enterprise capped at $999.99)</t>
        </is>
      </c>
    </row>
    <row r="23">
      <c r="B23" s="7" t="inlineStr">
        <is>
          <t>COST PER PAYING USER ($/mo)</t>
        </is>
      </c>
    </row>
    <row r="24">
      <c r="B24" s="23" t="inlineStr">
        <is>
          <t>Gemini AI — Pro typical</t>
        </is>
      </c>
      <c r="C24" s="26" t="n">
        <v>3.5</v>
      </c>
      <c r="D24" s="25" t="inlineStr">
        <is>
          <t>30% of cap usage</t>
        </is>
      </c>
    </row>
    <row r="25">
      <c r="B25" s="23" t="inlineStr">
        <is>
          <t>Gemini AI — Business typical</t>
        </is>
      </c>
      <c r="C25" s="26" t="n">
        <v>10</v>
      </c>
    </row>
    <row r="26">
      <c r="B26" s="23" t="inlineStr">
        <is>
          <t>Gemini AI — Enterprise typical</t>
        </is>
      </c>
      <c r="C26" s="26" t="n">
        <v>22</v>
      </c>
    </row>
    <row r="27">
      <c r="B27" s="23" t="inlineStr">
        <is>
          <t>Supabase + RC + email + push (blended)</t>
        </is>
      </c>
      <c r="C27" s="26" t="n">
        <v>0.8</v>
      </c>
    </row>
    <row r="29">
      <c r="B29" s="7" t="inlineStr">
        <is>
          <t>APP STORE FEES</t>
        </is>
      </c>
    </row>
    <row r="30">
      <c r="B30" s="23" t="inlineStr">
        <is>
          <t>Y1 store-fee blended</t>
        </is>
      </c>
      <c r="C30" s="27" t="n">
        <v>0.3</v>
      </c>
      <c r="D30" s="25" t="inlineStr">
        <is>
          <t>Apple/Google take 30% on first-year subs</t>
        </is>
      </c>
    </row>
    <row r="31">
      <c r="B31" s="23" t="inlineStr">
        <is>
          <t>Y2 store-fee blended</t>
        </is>
      </c>
      <c r="C31" s="27" t="n">
        <v>0.22</v>
      </c>
      <c r="D31" s="25" t="inlineStr">
        <is>
          <t>Mix of new (30%) + renewing (15%)</t>
        </is>
      </c>
    </row>
    <row r="32">
      <c r="B32" s="23" t="inlineStr">
        <is>
          <t>Y3 store-fee blended</t>
        </is>
      </c>
      <c r="C32" s="27" t="n">
        <v>0.18</v>
      </c>
      <c r="D32" s="25" t="inlineStr">
        <is>
          <t>Mostly renewing</t>
        </is>
      </c>
    </row>
    <row r="34">
      <c r="B34" s="7" t="inlineStr">
        <is>
          <t>MARKETING SPEND ($)</t>
        </is>
      </c>
    </row>
    <row r="35">
      <c r="B35" s="23" t="inlineStr">
        <is>
          <t>Y1 marketing budget</t>
        </is>
      </c>
      <c r="C35" s="24" t="n">
        <v>30000</v>
      </c>
      <c r="D35" s="25" t="inlineStr">
        <is>
          <t>SEO + content + tools</t>
        </is>
      </c>
    </row>
    <row r="36">
      <c r="B36" s="23" t="inlineStr">
        <is>
          <t>Y2 marketing budget</t>
        </is>
      </c>
      <c r="C36" s="24" t="n">
        <v>130000</v>
      </c>
      <c r="D36" s="25" t="inlineStr">
        <is>
          <t>Paid + trade show</t>
        </is>
      </c>
    </row>
    <row r="37">
      <c r="B37" s="23" t="inlineStr">
        <is>
          <t>Y3 marketing budget</t>
        </is>
      </c>
      <c r="C37" s="24" t="n">
        <v>330000</v>
      </c>
      <c r="D37" s="25" t="inlineStr">
        <is>
          <t>Full team + paid + trade</t>
        </is>
      </c>
    </row>
    <row r="39">
      <c r="B39" s="7" t="inlineStr">
        <is>
          <t>FOUNDER + TEAM ($/yr)</t>
        </is>
      </c>
    </row>
    <row r="40">
      <c r="B40" s="23" t="inlineStr">
        <is>
          <t>Y1 founder salary</t>
        </is>
      </c>
      <c r="C40" s="24" t="n">
        <v>60000</v>
      </c>
      <c r="D40" s="25" t="inlineStr">
        <is>
          <t>Survival mode</t>
        </is>
      </c>
    </row>
    <row r="41">
      <c r="B41" s="23" t="inlineStr">
        <is>
          <t>Y2 founder salary</t>
        </is>
      </c>
      <c r="C41" s="24" t="n">
        <v>120000</v>
      </c>
      <c r="D41" s="25" t="inlineStr">
        <is>
          <t>Real salary</t>
        </is>
      </c>
    </row>
    <row r="42">
      <c r="B42" s="23" t="inlineStr">
        <is>
          <t>Y3 founder salary</t>
        </is>
      </c>
      <c r="C42" s="24" t="n">
        <v>180000</v>
      </c>
      <c r="D42" s="25" t="inlineStr">
        <is>
          <t>Market rate</t>
        </is>
      </c>
    </row>
    <row r="43">
      <c r="B43" s="23" t="inlineStr">
        <is>
          <t>Y2 part-time hire</t>
        </is>
      </c>
      <c r="C43" s="24" t="n">
        <v>48000</v>
      </c>
      <c r="D43" s="25" t="inlineStr">
        <is>
          <t>Content / community ($4K/mo)</t>
        </is>
      </c>
    </row>
    <row r="44">
      <c r="B44" s="23" t="inlineStr">
        <is>
          <t>Y3 full-time hires (2)</t>
        </is>
      </c>
      <c r="C44" s="24" t="n">
        <v>220000</v>
      </c>
      <c r="D44" s="25" t="inlineStr">
        <is>
          <t>Support + sales/content</t>
        </is>
      </c>
    </row>
    <row r="46">
      <c r="B46" s="7" t="inlineStr">
        <is>
          <t>OTHER</t>
        </is>
      </c>
    </row>
    <row r="47">
      <c r="B47" s="23" t="inlineStr">
        <is>
          <t>Y1 tools spend</t>
        </is>
      </c>
      <c r="C47" s="24" t="n">
        <v>3600</v>
      </c>
      <c r="D47" s="25" t="inlineStr">
        <is>
          <t>$300/mo</t>
        </is>
      </c>
    </row>
    <row r="48">
      <c r="B48" s="23" t="inlineStr">
        <is>
          <t>Y2 tools spend</t>
        </is>
      </c>
      <c r="C48" s="24" t="n">
        <v>8400</v>
      </c>
    </row>
    <row r="49">
      <c r="B49" s="23" t="inlineStr">
        <is>
          <t>Y3 tools spend</t>
        </is>
      </c>
      <c r="C49" s="24" t="n">
        <v>15000</v>
      </c>
    </row>
    <row r="50">
      <c r="B50" s="23" t="inlineStr">
        <is>
          <t>Y2 Stripe platform fee revenue</t>
        </is>
      </c>
      <c r="C50" s="24" t="n">
        <v>12000</v>
      </c>
      <c r="D50" s="25" t="inlineStr">
        <is>
          <t>1% of payment volume</t>
        </is>
      </c>
    </row>
    <row r="51">
      <c r="B51" s="23" t="inlineStr">
        <is>
          <t>Y3 Stripe platform fee revenue</t>
        </is>
      </c>
      <c r="C51" s="24" t="n">
        <v>60000</v>
      </c>
      <c r="D51" s="25" t="inlineStr">
        <is>
          <t>$6M payment volume × 1%</t>
        </is>
      </c>
    </row>
    <row r="53">
      <c r="B53" s="7" t="inlineStr">
        <is>
          <t>SCENARIO PAYING USERS — EOY</t>
        </is>
      </c>
    </row>
    <row r="54">
      <c r="B54" s="6" t="inlineStr">
        <is>
          <t>(Edit these to override scenarios)</t>
        </is>
      </c>
    </row>
    <row r="55">
      <c r="B55" s="11" t="inlineStr">
        <is>
          <t>Scenario</t>
        </is>
      </c>
      <c r="C55" s="11" t="inlineStr">
        <is>
          <t>Y1 EOY</t>
        </is>
      </c>
      <c r="D55" s="11" t="inlineStr">
        <is>
          <t>Y2 EOY</t>
        </is>
      </c>
      <c r="E55" s="11" t="inlineStr">
        <is>
          <t>Y3 EOY</t>
        </is>
      </c>
    </row>
    <row r="56">
      <c r="B56" s="31" t="inlineStr">
        <is>
          <t>Conservative</t>
        </is>
      </c>
      <c r="C56" s="32" t="n">
        <v>200</v>
      </c>
      <c r="D56" s="32" t="n">
        <v>800</v>
      </c>
      <c r="E56" s="32" t="n">
        <v>2500</v>
      </c>
    </row>
    <row r="57">
      <c r="B57" s="31" t="inlineStr">
        <is>
          <t>Realistic</t>
        </is>
      </c>
      <c r="C57" s="32" t="n">
        <v>500</v>
      </c>
      <c r="D57" s="32" t="n">
        <v>2000</v>
      </c>
      <c r="E57" s="32" t="n">
        <v>6000</v>
      </c>
    </row>
    <row r="58">
      <c r="B58" s="31" t="inlineStr">
        <is>
          <t>Optimistic</t>
        </is>
      </c>
      <c r="C58" s="32" t="n">
        <v>1200</v>
      </c>
      <c r="D58" s="32" t="n">
        <v>5000</v>
      </c>
      <c r="E58" s="32" t="n">
        <v>15000</v>
      </c>
    </row>
    <row r="60">
      <c r="B60" s="7" t="inlineStr">
        <is>
          <t>Avg paying users (year-avg, % of EOY)</t>
        </is>
      </c>
    </row>
    <row r="61">
      <c r="B61" s="23" t="inlineStr">
        <is>
          <t>Y1 avg / EOY ratio</t>
        </is>
      </c>
      <c r="C61" s="27" t="n">
        <v>0.5</v>
      </c>
      <c r="D61" s="25" t="inlineStr">
        <is>
          <t>Slow ramp</t>
        </is>
      </c>
    </row>
    <row r="62">
      <c r="B62" s="23" t="inlineStr">
        <is>
          <t>Y2 avg / EOY ratio</t>
        </is>
      </c>
      <c r="C62" s="27" t="n">
        <v>0.6</v>
      </c>
    </row>
    <row r="63">
      <c r="B63" s="23" t="inlineStr">
        <is>
          <t>Y3 avg / EOY ratio</t>
        </is>
      </c>
      <c r="C63" s="27" t="n">
        <v>0.63</v>
      </c>
    </row>
    <row r="65">
      <c r="B65" s="7" t="inlineStr">
        <is>
          <t>COMPUTED — BLENDED ARPU</t>
        </is>
      </c>
    </row>
    <row r="66">
      <c r="B66" s="33" t="inlineStr">
        <is>
          <t>Blended monthly ARPU (no annual discount)</t>
        </is>
      </c>
      <c r="C66" s="34">
        <f>C7*C12 + C8*C13 + C9*C14</f>
        <v/>
      </c>
    </row>
    <row r="67">
      <c r="B67" s="33" t="inlineStr">
        <is>
          <t>Effective monthly ARPU (with annual mix)</t>
        </is>
      </c>
      <c r="C67" s="34">
        <f>C66*(1-C20*C21)</f>
        <v/>
      </c>
    </row>
    <row r="68">
      <c r="B68" s="33" t="inlineStr">
        <is>
          <t>Effective annual ARPU per user</t>
        </is>
      </c>
      <c r="C68" s="35">
        <f>C67*12</f>
        <v/>
      </c>
    </row>
    <row r="70">
      <c r="B70" s="33" t="inlineStr">
        <is>
          <t>Blended variable cost per user $/mo</t>
        </is>
      </c>
      <c r="C70" s="34">
        <f>C24*C12 + C25*C13 + C26*C14 + C27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36" t="inlineStr">
        <is>
          <t>Conservative Scenario — 3-Year P&amp;L</t>
        </is>
      </c>
    </row>
    <row r="3">
      <c r="B3" s="6" t="inlineStr">
        <is>
          <t>All values pull from Assumptions tab. Black = formula, Green = cross-sheet link.</t>
        </is>
      </c>
    </row>
    <row r="5">
      <c r="B5" s="11" t="inlineStr">
        <is>
          <t>Line item</t>
        </is>
      </c>
      <c r="C5" s="11" t="inlineStr">
        <is>
          <t>Y1</t>
        </is>
      </c>
      <c r="D5" s="11" t="inlineStr">
        <is>
          <t>Y2</t>
        </is>
      </c>
      <c r="E5" s="11" t="inlineStr">
        <is>
          <t>Y3</t>
        </is>
      </c>
      <c r="F5" s="12" t="inlineStr">
        <is>
          <t>3-Yr Total</t>
        </is>
      </c>
    </row>
    <row r="7">
      <c r="B7" s="7" t="inlineStr">
        <is>
          <t>USER METRICS</t>
        </is>
      </c>
    </row>
    <row r="8">
      <c r="B8" s="37" t="inlineStr">
        <is>
          <t>Avg paying users (year)</t>
        </is>
      </c>
      <c r="C8" s="14">
        <f>Assumptions!C56*Assumptions!C61</f>
        <v/>
      </c>
      <c r="D8" s="14">
        <f>Assumptions!D56*Assumptions!C62</f>
        <v/>
      </c>
      <c r="E8" s="14">
        <f>Assumptions!E56*Assumptions!C63</f>
        <v/>
      </c>
    </row>
    <row r="9">
      <c r="B9" s="37" t="inlineStr">
        <is>
          <t>Paying users (EOY)</t>
        </is>
      </c>
      <c r="C9" s="14">
        <f>Assumptions!C56</f>
        <v/>
      </c>
      <c r="D9" s="14">
        <f>Assumptions!D56</f>
        <v/>
      </c>
      <c r="E9" s="14">
        <f>Assumptions!E56</f>
        <v/>
      </c>
    </row>
    <row r="10">
      <c r="B10" s="37" t="inlineStr">
        <is>
          <t>Effective ARPU / mo</t>
        </is>
      </c>
      <c r="C10" s="38">
        <f>Assumptions!C67</f>
        <v/>
      </c>
      <c r="D10" s="38">
        <f>Assumptions!C67</f>
        <v/>
      </c>
      <c r="E10" s="38">
        <f>Assumptions!C67</f>
        <v/>
      </c>
    </row>
    <row r="11">
      <c r="B11" s="39" t="inlineStr">
        <is>
          <t>GROSS REVENUE</t>
        </is>
      </c>
      <c r="C11" s="40">
        <f>C8*C10*12</f>
        <v/>
      </c>
      <c r="D11" s="40">
        <f>D8*D10*12</f>
        <v/>
      </c>
      <c r="E11" s="40">
        <f>E8*E10*12</f>
        <v/>
      </c>
      <c r="F11" s="40">
        <f>SUM(C11:E11)</f>
        <v/>
      </c>
    </row>
    <row r="13">
      <c r="B13" s="41" t="inlineStr">
        <is>
          <t>Paying users at EOY</t>
        </is>
      </c>
      <c r="C13" s="42">
        <f>Assumptions!C56</f>
        <v/>
      </c>
      <c r="D13" s="42">
        <f>Assumptions!D56</f>
        <v/>
      </c>
      <c r="E13" s="42">
        <f>Assumptions!E56</f>
        <v/>
      </c>
    </row>
    <row r="15">
      <c r="B15" s="7" t="inlineStr">
        <is>
          <t>COSTS</t>
        </is>
      </c>
    </row>
    <row r="16">
      <c r="B16" s="37" t="inlineStr">
        <is>
          <t>App store fees</t>
        </is>
      </c>
      <c r="C16" s="43">
        <f>C11*Assumptions!C30*-1</f>
        <v/>
      </c>
      <c r="D16" s="43">
        <f>D11*Assumptions!C31*-1</f>
        <v/>
      </c>
      <c r="E16" s="43">
        <f>E11*Assumptions!C32*-1</f>
        <v/>
      </c>
    </row>
    <row r="17">
      <c r="B17" s="37" t="inlineStr">
        <is>
          <t>Variable costs (AI, Supabase, RC, email)</t>
        </is>
      </c>
      <c r="C17" s="43">
        <f>-C8*Assumptions!C70*12</f>
        <v/>
      </c>
      <c r="D17" s="43">
        <f>-D8*Assumptions!C70*12</f>
        <v/>
      </c>
      <c r="E17" s="43">
        <f>-E8*Assumptions!C70*12</f>
        <v/>
      </c>
    </row>
    <row r="18">
      <c r="B18" s="37" t="inlineStr">
        <is>
          <t>Marketing spend</t>
        </is>
      </c>
      <c r="C18" s="21">
        <f>-Assumptions!C35</f>
        <v/>
      </c>
      <c r="D18" s="21">
        <f>-Assumptions!C36</f>
        <v/>
      </c>
      <c r="E18" s="21">
        <f>-Assumptions!C37</f>
        <v/>
      </c>
    </row>
    <row r="19">
      <c r="B19" s="37" t="inlineStr">
        <is>
          <t>Tools (Sentry, PostHog, etc)</t>
        </is>
      </c>
      <c r="C19" s="21">
        <f>-Assumptions!C47</f>
        <v/>
      </c>
      <c r="D19" s="21">
        <f>-Assumptions!C48</f>
        <v/>
      </c>
      <c r="E19" s="21">
        <f>-Assumptions!C49</f>
        <v/>
      </c>
    </row>
    <row r="20">
      <c r="B20" s="37" t="inlineStr">
        <is>
          <t>Founder + team salaries</t>
        </is>
      </c>
      <c r="C20" s="21">
        <f>-Assumptions!C40</f>
        <v/>
      </c>
      <c r="D20" s="21">
        <f>-Assumptions!C41-Assumptions!C43</f>
        <v/>
      </c>
      <c r="E20" s="21">
        <f>-Assumptions!C42-Assumptions!C44</f>
        <v/>
      </c>
    </row>
    <row r="21">
      <c r="B21" s="44" t="inlineStr">
        <is>
          <t>NET INCOME</t>
        </is>
      </c>
      <c r="C21" s="45">
        <f>C11+C16+C17+C18+C19+C20</f>
        <v/>
      </c>
      <c r="D21" s="45">
        <f>D11+D16+D17+D18+D19+D20+Assumptions!C50</f>
        <v/>
      </c>
      <c r="E21" s="45">
        <f>E11+E16+E17+E18+E19+E20+Assumptions!C51</f>
        <v/>
      </c>
      <c r="F21" s="46">
        <f>SUM(C21:E21)</f>
        <v/>
      </c>
    </row>
    <row r="22">
      <c r="B22" s="47" t="inlineStr">
        <is>
          <t>Net margin %</t>
        </is>
      </c>
      <c r="C22" s="48">
        <f>IFERROR(C21/C11,0)</f>
        <v/>
      </c>
      <c r="D22" s="48">
        <f>IFERROR(D21/D11,0)</f>
        <v/>
      </c>
      <c r="E22" s="48">
        <f>IFERROR(E21/E11,0)</f>
        <v/>
      </c>
    </row>
    <row r="24">
      <c r="B24" s="39" t="inlineStr">
        <is>
          <t>ENDING ARR (run-rate)</t>
        </is>
      </c>
      <c r="C24" s="40">
        <f>C13*C10*12</f>
        <v/>
      </c>
      <c r="D24" s="40">
        <f>D13*D10*12</f>
        <v/>
      </c>
      <c r="E24" s="40">
        <f>E13*E10*12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36" t="inlineStr">
        <is>
          <t>Realistic Scenario — 3-Year P&amp;L</t>
        </is>
      </c>
    </row>
    <row r="3">
      <c r="B3" s="6" t="inlineStr">
        <is>
          <t>All values pull from Assumptions tab. Black = formula, Green = cross-sheet link.</t>
        </is>
      </c>
    </row>
    <row r="5">
      <c r="B5" s="11" t="inlineStr">
        <is>
          <t>Line item</t>
        </is>
      </c>
      <c r="C5" s="11" t="inlineStr">
        <is>
          <t>Y1</t>
        </is>
      </c>
      <c r="D5" s="11" t="inlineStr">
        <is>
          <t>Y2</t>
        </is>
      </c>
      <c r="E5" s="11" t="inlineStr">
        <is>
          <t>Y3</t>
        </is>
      </c>
      <c r="F5" s="12" t="inlineStr">
        <is>
          <t>3-Yr Total</t>
        </is>
      </c>
    </row>
    <row r="7">
      <c r="B7" s="7" t="inlineStr">
        <is>
          <t>USER METRICS</t>
        </is>
      </c>
    </row>
    <row r="8">
      <c r="B8" s="37" t="inlineStr">
        <is>
          <t>Avg paying users (year)</t>
        </is>
      </c>
      <c r="C8" s="14">
        <f>Assumptions!C57*Assumptions!C61</f>
        <v/>
      </c>
      <c r="D8" s="14">
        <f>Assumptions!D57*Assumptions!C62</f>
        <v/>
      </c>
      <c r="E8" s="14">
        <f>Assumptions!E57*Assumptions!C63</f>
        <v/>
      </c>
    </row>
    <row r="9">
      <c r="B9" s="37" t="inlineStr">
        <is>
          <t>Paying users (EOY)</t>
        </is>
      </c>
      <c r="C9" s="14">
        <f>Assumptions!C57</f>
        <v/>
      </c>
      <c r="D9" s="14">
        <f>Assumptions!D57</f>
        <v/>
      </c>
      <c r="E9" s="14">
        <f>Assumptions!E57</f>
        <v/>
      </c>
    </row>
    <row r="10">
      <c r="B10" s="37" t="inlineStr">
        <is>
          <t>Effective ARPU / mo</t>
        </is>
      </c>
      <c r="C10" s="38">
        <f>Assumptions!C67</f>
        <v/>
      </c>
      <c r="D10" s="38">
        <f>Assumptions!C67</f>
        <v/>
      </c>
      <c r="E10" s="38">
        <f>Assumptions!C67</f>
        <v/>
      </c>
    </row>
    <row r="11">
      <c r="B11" s="39" t="inlineStr">
        <is>
          <t>GROSS REVENUE</t>
        </is>
      </c>
      <c r="C11" s="40">
        <f>C8*C10*12</f>
        <v/>
      </c>
      <c r="D11" s="40">
        <f>D8*D10*12</f>
        <v/>
      </c>
      <c r="E11" s="40">
        <f>E8*E10*12</f>
        <v/>
      </c>
      <c r="F11" s="40">
        <f>SUM(C11:E11)</f>
        <v/>
      </c>
    </row>
    <row r="13">
      <c r="B13" s="41" t="inlineStr">
        <is>
          <t>Paying users at EOY</t>
        </is>
      </c>
      <c r="C13" s="42">
        <f>Assumptions!C57</f>
        <v/>
      </c>
      <c r="D13" s="42">
        <f>Assumptions!D57</f>
        <v/>
      </c>
      <c r="E13" s="42">
        <f>Assumptions!E57</f>
        <v/>
      </c>
    </row>
    <row r="15">
      <c r="B15" s="7" t="inlineStr">
        <is>
          <t>COSTS</t>
        </is>
      </c>
    </row>
    <row r="16">
      <c r="B16" s="37" t="inlineStr">
        <is>
          <t>App store fees</t>
        </is>
      </c>
      <c r="C16" s="43">
        <f>C11*Assumptions!C30*-1</f>
        <v/>
      </c>
      <c r="D16" s="43">
        <f>D11*Assumptions!C31*-1</f>
        <v/>
      </c>
      <c r="E16" s="43">
        <f>E11*Assumptions!C32*-1</f>
        <v/>
      </c>
    </row>
    <row r="17">
      <c r="B17" s="37" t="inlineStr">
        <is>
          <t>Variable costs (AI, Supabase, RC, email)</t>
        </is>
      </c>
      <c r="C17" s="43">
        <f>-C8*Assumptions!C70*12</f>
        <v/>
      </c>
      <c r="D17" s="43">
        <f>-D8*Assumptions!C70*12</f>
        <v/>
      </c>
      <c r="E17" s="43">
        <f>-E8*Assumptions!C70*12</f>
        <v/>
      </c>
    </row>
    <row r="18">
      <c r="B18" s="37" t="inlineStr">
        <is>
          <t>Marketing spend</t>
        </is>
      </c>
      <c r="C18" s="21">
        <f>-Assumptions!C35</f>
        <v/>
      </c>
      <c r="D18" s="21">
        <f>-Assumptions!C36</f>
        <v/>
      </c>
      <c r="E18" s="21">
        <f>-Assumptions!C37</f>
        <v/>
      </c>
    </row>
    <row r="19">
      <c r="B19" s="37" t="inlineStr">
        <is>
          <t>Tools (Sentry, PostHog, etc)</t>
        </is>
      </c>
      <c r="C19" s="21">
        <f>-Assumptions!C47</f>
        <v/>
      </c>
      <c r="D19" s="21">
        <f>-Assumptions!C48</f>
        <v/>
      </c>
      <c r="E19" s="21">
        <f>-Assumptions!C49</f>
        <v/>
      </c>
    </row>
    <row r="20">
      <c r="B20" s="37" t="inlineStr">
        <is>
          <t>Founder + team salaries</t>
        </is>
      </c>
      <c r="C20" s="21">
        <f>-Assumptions!C40</f>
        <v/>
      </c>
      <c r="D20" s="21">
        <f>-Assumptions!C41-Assumptions!C43</f>
        <v/>
      </c>
      <c r="E20" s="21">
        <f>-Assumptions!C42-Assumptions!C44</f>
        <v/>
      </c>
    </row>
    <row r="21">
      <c r="B21" s="44" t="inlineStr">
        <is>
          <t>NET INCOME</t>
        </is>
      </c>
      <c r="C21" s="45">
        <f>C11+C16+C17+C18+C19+C20</f>
        <v/>
      </c>
      <c r="D21" s="45">
        <f>D11+D16+D17+D18+D19+D20+Assumptions!C50</f>
        <v/>
      </c>
      <c r="E21" s="45">
        <f>E11+E16+E17+E18+E19+E20+Assumptions!C51</f>
        <v/>
      </c>
      <c r="F21" s="46">
        <f>SUM(C21:E21)</f>
        <v/>
      </c>
    </row>
    <row r="22">
      <c r="B22" s="47" t="inlineStr">
        <is>
          <t>Net margin %</t>
        </is>
      </c>
      <c r="C22" s="48">
        <f>IFERROR(C21/C11,0)</f>
        <v/>
      </c>
      <c r="D22" s="48">
        <f>IFERROR(D21/D11,0)</f>
        <v/>
      </c>
      <c r="E22" s="48">
        <f>IFERROR(E21/E11,0)</f>
        <v/>
      </c>
    </row>
    <row r="24">
      <c r="B24" s="39" t="inlineStr">
        <is>
          <t>ENDING ARR (run-rate)</t>
        </is>
      </c>
      <c r="C24" s="40">
        <f>C13*C10*12</f>
        <v/>
      </c>
      <c r="D24" s="40">
        <f>D13*D10*12</f>
        <v/>
      </c>
      <c r="E24" s="40">
        <f>E13*E10*12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36" t="inlineStr">
        <is>
          <t>Optimistic Scenario — 3-Year P&amp;L</t>
        </is>
      </c>
    </row>
    <row r="3">
      <c r="B3" s="6" t="inlineStr">
        <is>
          <t>All values pull from Assumptions tab. Black = formula, Green = cross-sheet link.</t>
        </is>
      </c>
    </row>
    <row r="5">
      <c r="B5" s="11" t="inlineStr">
        <is>
          <t>Line item</t>
        </is>
      </c>
      <c r="C5" s="11" t="inlineStr">
        <is>
          <t>Y1</t>
        </is>
      </c>
      <c r="D5" s="11" t="inlineStr">
        <is>
          <t>Y2</t>
        </is>
      </c>
      <c r="E5" s="11" t="inlineStr">
        <is>
          <t>Y3</t>
        </is>
      </c>
      <c r="F5" s="12" t="inlineStr">
        <is>
          <t>3-Yr Total</t>
        </is>
      </c>
    </row>
    <row r="7">
      <c r="B7" s="7" t="inlineStr">
        <is>
          <t>USER METRICS</t>
        </is>
      </c>
    </row>
    <row r="8">
      <c r="B8" s="37" t="inlineStr">
        <is>
          <t>Avg paying users (year)</t>
        </is>
      </c>
      <c r="C8" s="14">
        <f>Assumptions!C58*Assumptions!C61</f>
        <v/>
      </c>
      <c r="D8" s="14">
        <f>Assumptions!D58*Assumptions!C62</f>
        <v/>
      </c>
      <c r="E8" s="14">
        <f>Assumptions!E58*Assumptions!C63</f>
        <v/>
      </c>
    </row>
    <row r="9">
      <c r="B9" s="37" t="inlineStr">
        <is>
          <t>Paying users (EOY)</t>
        </is>
      </c>
      <c r="C9" s="14">
        <f>Assumptions!C58</f>
        <v/>
      </c>
      <c r="D9" s="14">
        <f>Assumptions!D58</f>
        <v/>
      </c>
      <c r="E9" s="14">
        <f>Assumptions!E58</f>
        <v/>
      </c>
    </row>
    <row r="10">
      <c r="B10" s="37" t="inlineStr">
        <is>
          <t>Effective ARPU / mo</t>
        </is>
      </c>
      <c r="C10" s="38">
        <f>Assumptions!C67</f>
        <v/>
      </c>
      <c r="D10" s="38">
        <f>Assumptions!C67</f>
        <v/>
      </c>
      <c r="E10" s="38">
        <f>Assumptions!C67</f>
        <v/>
      </c>
    </row>
    <row r="11">
      <c r="B11" s="39" t="inlineStr">
        <is>
          <t>GROSS REVENUE</t>
        </is>
      </c>
      <c r="C11" s="40">
        <f>C8*C10*12</f>
        <v/>
      </c>
      <c r="D11" s="40">
        <f>D8*D10*12</f>
        <v/>
      </c>
      <c r="E11" s="40">
        <f>E8*E10*12</f>
        <v/>
      </c>
      <c r="F11" s="40">
        <f>SUM(C11:E11)</f>
        <v/>
      </c>
    </row>
    <row r="13">
      <c r="B13" s="41" t="inlineStr">
        <is>
          <t>Paying users at EOY</t>
        </is>
      </c>
      <c r="C13" s="42">
        <f>Assumptions!C58</f>
        <v/>
      </c>
      <c r="D13" s="42">
        <f>Assumptions!D58</f>
        <v/>
      </c>
      <c r="E13" s="42">
        <f>Assumptions!E58</f>
        <v/>
      </c>
    </row>
    <row r="15">
      <c r="B15" s="7" t="inlineStr">
        <is>
          <t>COSTS</t>
        </is>
      </c>
    </row>
    <row r="16">
      <c r="B16" s="37" t="inlineStr">
        <is>
          <t>App store fees</t>
        </is>
      </c>
      <c r="C16" s="43">
        <f>C11*Assumptions!C30*-1</f>
        <v/>
      </c>
      <c r="D16" s="43">
        <f>D11*Assumptions!C31*-1</f>
        <v/>
      </c>
      <c r="E16" s="43">
        <f>E11*Assumptions!C32*-1</f>
        <v/>
      </c>
    </row>
    <row r="17">
      <c r="B17" s="37" t="inlineStr">
        <is>
          <t>Variable costs (AI, Supabase, RC, email)</t>
        </is>
      </c>
      <c r="C17" s="43">
        <f>-C8*Assumptions!C70*12</f>
        <v/>
      </c>
      <c r="D17" s="43">
        <f>-D8*Assumptions!C70*12</f>
        <v/>
      </c>
      <c r="E17" s="43">
        <f>-E8*Assumptions!C70*12</f>
        <v/>
      </c>
    </row>
    <row r="18">
      <c r="B18" s="37" t="inlineStr">
        <is>
          <t>Marketing spend</t>
        </is>
      </c>
      <c r="C18" s="21">
        <f>-Assumptions!C35</f>
        <v/>
      </c>
      <c r="D18" s="21">
        <f>-Assumptions!C36</f>
        <v/>
      </c>
      <c r="E18" s="21">
        <f>-Assumptions!C37</f>
        <v/>
      </c>
    </row>
    <row r="19">
      <c r="B19" s="37" t="inlineStr">
        <is>
          <t>Tools (Sentry, PostHog, etc)</t>
        </is>
      </c>
      <c r="C19" s="21">
        <f>-Assumptions!C47</f>
        <v/>
      </c>
      <c r="D19" s="21">
        <f>-Assumptions!C48</f>
        <v/>
      </c>
      <c r="E19" s="21">
        <f>-Assumptions!C49</f>
        <v/>
      </c>
    </row>
    <row r="20">
      <c r="B20" s="37" t="inlineStr">
        <is>
          <t>Founder + team salaries</t>
        </is>
      </c>
      <c r="C20" s="21">
        <f>-Assumptions!C40</f>
        <v/>
      </c>
      <c r="D20" s="21">
        <f>-Assumptions!C41-Assumptions!C43</f>
        <v/>
      </c>
      <c r="E20" s="21">
        <f>-Assumptions!C42-Assumptions!C44</f>
        <v/>
      </c>
    </row>
    <row r="21">
      <c r="B21" s="44" t="inlineStr">
        <is>
          <t>NET INCOME</t>
        </is>
      </c>
      <c r="C21" s="45">
        <f>C11+C16+C17+C18+C19+C20</f>
        <v/>
      </c>
      <c r="D21" s="45">
        <f>D11+D16+D17+D18+D19+D20+Assumptions!C50</f>
        <v/>
      </c>
      <c r="E21" s="45">
        <f>E11+E16+E17+E18+E19+E20+Assumptions!C51</f>
        <v/>
      </c>
      <c r="F21" s="46">
        <f>SUM(C21:E21)</f>
        <v/>
      </c>
    </row>
    <row r="22">
      <c r="B22" s="47" t="inlineStr">
        <is>
          <t>Net margin %</t>
        </is>
      </c>
      <c r="C22" s="48">
        <f>IFERROR(C21/C11,0)</f>
        <v/>
      </c>
      <c r="D22" s="48">
        <f>IFERROR(D21/D11,0)</f>
        <v/>
      </c>
      <c r="E22" s="48">
        <f>IFERROR(E21/E11,0)</f>
        <v/>
      </c>
    </row>
    <row r="24">
      <c r="B24" s="39" t="inlineStr">
        <is>
          <t>ENDING ARR (run-rate)</t>
        </is>
      </c>
      <c r="C24" s="40">
        <f>C13*C10*12</f>
        <v/>
      </c>
      <c r="D24" s="40">
        <f>D13*D10*12</f>
        <v/>
      </c>
      <c r="E24" s="40">
        <f>E13*E10*12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6" t="inlineStr">
        <is>
          <t>Y1 Monthly Conversion Ramp — Realistic Scenario</t>
        </is>
      </c>
    </row>
    <row r="3">
      <c r="B3" s="6" t="inlineStr">
        <is>
          <t>Free signups &amp; conversions are hardcoded ramp inputs. Cumulative paid applies the monthly churn from Assumptions!C19.</t>
        </is>
      </c>
    </row>
    <row r="5">
      <c r="B5" s="11" t="inlineStr">
        <is>
          <t>Month</t>
        </is>
      </c>
      <c r="C5" s="11" t="inlineStr">
        <is>
          <t>Free signups</t>
        </is>
      </c>
      <c r="D5" s="11" t="inlineStr">
        <is>
          <t>Paid conversions</t>
        </is>
      </c>
      <c r="E5" s="11" t="inlineStr">
        <is>
          <t>Churn this month</t>
        </is>
      </c>
      <c r="F5" s="11" t="inlineStr">
        <is>
          <t>Net new paid</t>
        </is>
      </c>
      <c r="G5" s="12" t="inlineStr">
        <is>
          <t>Cumulative paid (EOM)</t>
        </is>
      </c>
    </row>
    <row r="6">
      <c r="B6" s="49" t="n">
        <v>1</v>
      </c>
      <c r="C6" s="50" t="n">
        <v>50</v>
      </c>
      <c r="D6" s="50" t="n">
        <v>5</v>
      </c>
      <c r="E6" s="51">
        <f>0</f>
        <v/>
      </c>
      <c r="F6" s="51">
        <f>D6+E6</f>
        <v/>
      </c>
      <c r="G6" s="52">
        <f>D6</f>
        <v/>
      </c>
    </row>
    <row r="7">
      <c r="B7" s="49" t="n">
        <v>2</v>
      </c>
      <c r="C7" s="50" t="n">
        <v>100</v>
      </c>
      <c r="D7" s="50" t="n">
        <v>15</v>
      </c>
      <c r="E7" s="51">
        <f>ROUND(G6*Assumptions!C19,0)*-1</f>
        <v/>
      </c>
      <c r="F7" s="51">
        <f>D7+E7</f>
        <v/>
      </c>
      <c r="G7" s="52">
        <f>G6+D7+E7</f>
        <v/>
      </c>
    </row>
    <row r="8">
      <c r="B8" s="49" t="n">
        <v>3</v>
      </c>
      <c r="C8" s="50" t="n">
        <v>200</v>
      </c>
      <c r="D8" s="50" t="n">
        <v>25</v>
      </c>
      <c r="E8" s="51">
        <f>ROUND(G7*Assumptions!C19,0)*-1</f>
        <v/>
      </c>
      <c r="F8" s="51">
        <f>D8+E8</f>
        <v/>
      </c>
      <c r="G8" s="52">
        <f>G7+D8+E8</f>
        <v/>
      </c>
    </row>
    <row r="9">
      <c r="B9" s="49" t="n">
        <v>4</v>
      </c>
      <c r="C9" s="50" t="n">
        <v>300</v>
      </c>
      <c r="D9" s="50" t="n">
        <v>40</v>
      </c>
      <c r="E9" s="51">
        <f>ROUND(G8*Assumptions!C19,0)*-1</f>
        <v/>
      </c>
      <c r="F9" s="51">
        <f>D9+E9</f>
        <v/>
      </c>
      <c r="G9" s="52">
        <f>G8+D9+E9</f>
        <v/>
      </c>
    </row>
    <row r="10">
      <c r="B10" s="49" t="n">
        <v>5</v>
      </c>
      <c r="C10" s="50" t="n">
        <v>400</v>
      </c>
      <c r="D10" s="50" t="n">
        <v>50</v>
      </c>
      <c r="E10" s="51">
        <f>ROUND(G9*Assumptions!C19,0)*-1</f>
        <v/>
      </c>
      <c r="F10" s="51">
        <f>D10+E10</f>
        <v/>
      </c>
      <c r="G10" s="52">
        <f>G9+D10+E10</f>
        <v/>
      </c>
    </row>
    <row r="11">
      <c r="B11" s="49" t="n">
        <v>6</v>
      </c>
      <c r="C11" s="50" t="n">
        <v>500</v>
      </c>
      <c r="D11" s="50" t="n">
        <v>60</v>
      </c>
      <c r="E11" s="51">
        <f>ROUND(G10*Assumptions!C19,0)*-1</f>
        <v/>
      </c>
      <c r="F11" s="51">
        <f>D11+E11</f>
        <v/>
      </c>
      <c r="G11" s="52">
        <f>G10+D11+E11</f>
        <v/>
      </c>
    </row>
    <row r="12">
      <c r="B12" s="49" t="n">
        <v>7</v>
      </c>
      <c r="C12" s="50" t="n">
        <v>600</v>
      </c>
      <c r="D12" s="50" t="n">
        <v>70</v>
      </c>
      <c r="E12" s="51">
        <f>ROUND(G11*Assumptions!C19,0)*-1</f>
        <v/>
      </c>
      <c r="F12" s="51">
        <f>D12+E12</f>
        <v/>
      </c>
      <c r="G12" s="52">
        <f>G11+D12+E12</f>
        <v/>
      </c>
    </row>
    <row r="13">
      <c r="B13" s="49" t="n">
        <v>8</v>
      </c>
      <c r="C13" s="50" t="n">
        <v>700</v>
      </c>
      <c r="D13" s="50" t="n">
        <v>75</v>
      </c>
      <c r="E13" s="51">
        <f>ROUND(G12*Assumptions!C19,0)*-1</f>
        <v/>
      </c>
      <c r="F13" s="51">
        <f>D13+E13</f>
        <v/>
      </c>
      <c r="G13" s="52">
        <f>G12+D13+E13</f>
        <v/>
      </c>
    </row>
    <row r="14">
      <c r="B14" s="49" t="n">
        <v>9</v>
      </c>
      <c r="C14" s="50" t="n">
        <v>800</v>
      </c>
      <c r="D14" s="50" t="n">
        <v>80</v>
      </c>
      <c r="E14" s="51">
        <f>ROUND(G13*Assumptions!C19,0)*-1</f>
        <v/>
      </c>
      <c r="F14" s="51">
        <f>D14+E14</f>
        <v/>
      </c>
      <c r="G14" s="52">
        <f>G13+D14+E14</f>
        <v/>
      </c>
    </row>
    <row r="15">
      <c r="B15" s="49" t="n">
        <v>10</v>
      </c>
      <c r="C15" s="50" t="n">
        <v>900</v>
      </c>
      <c r="D15" s="50" t="n">
        <v>85</v>
      </c>
      <c r="E15" s="51">
        <f>ROUND(G14*Assumptions!C19,0)*-1</f>
        <v/>
      </c>
      <c r="F15" s="51">
        <f>D15+E15</f>
        <v/>
      </c>
      <c r="G15" s="52">
        <f>G14+D15+E15</f>
        <v/>
      </c>
    </row>
    <row r="16">
      <c r="B16" s="49" t="n">
        <v>11</v>
      </c>
      <c r="C16" s="50" t="n">
        <v>1000</v>
      </c>
      <c r="D16" s="50" t="n">
        <v>90</v>
      </c>
      <c r="E16" s="51">
        <f>ROUND(G15*Assumptions!C19,0)*-1</f>
        <v/>
      </c>
      <c r="F16" s="51">
        <f>D16+E16</f>
        <v/>
      </c>
      <c r="G16" s="52">
        <f>G15+D16+E16</f>
        <v/>
      </c>
    </row>
    <row r="17">
      <c r="B17" s="49" t="n">
        <v>12</v>
      </c>
      <c r="C17" s="50" t="n">
        <v>1100</v>
      </c>
      <c r="D17" s="50" t="n">
        <v>95</v>
      </c>
      <c r="E17" s="51">
        <f>ROUND(G16*Assumptions!C19,0)*-1</f>
        <v/>
      </c>
      <c r="F17" s="51">
        <f>D17+E17</f>
        <v/>
      </c>
      <c r="G17" s="52">
        <f>G16+D17+E17</f>
        <v/>
      </c>
    </row>
    <row r="18">
      <c r="B18" s="53" t="inlineStr">
        <is>
          <t>TOTAL</t>
        </is>
      </c>
      <c r="C18" s="54">
        <f>SUM(C6:C17)</f>
        <v/>
      </c>
      <c r="D18" s="54">
        <f>SUM(D6:D17)</f>
        <v/>
      </c>
      <c r="E18" s="54">
        <f>SUM(E6:E17)</f>
        <v/>
      </c>
      <c r="F18" s="54">
        <f>SUM(F6:F17)</f>
        <v/>
      </c>
      <c r="G18" s="55">
        <f>G17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36" t="inlineStr">
        <is>
          <t>Unit Economics</t>
        </is>
      </c>
    </row>
    <row r="3">
      <c r="B3" s="6" t="inlineStr">
        <is>
          <t>Per-user cost, gross margin, LTV, CAC budget. Pulls Pricing + costs from Assumptions.</t>
        </is>
      </c>
    </row>
    <row r="5">
      <c r="B5" s="11" t="inlineStr">
        <is>
          <t>Cost / margin per user</t>
        </is>
      </c>
      <c r="C5" s="11" t="inlineStr">
        <is>
          <t>Pro</t>
        </is>
      </c>
      <c r="D5" s="11" t="inlineStr">
        <is>
          <t>Business</t>
        </is>
      </c>
      <c r="E5" s="11" t="inlineStr">
        <is>
          <t>Enterprise</t>
        </is>
      </c>
      <c r="F5" s="12" t="inlineStr">
        <is>
          <t>Blended</t>
        </is>
      </c>
    </row>
    <row r="6">
      <c r="B6" s="56" t="inlineStr">
        <is>
          <t>Subscription $/mo</t>
        </is>
      </c>
      <c r="C6" s="57">
        <f>Assumptions!C7</f>
        <v/>
      </c>
      <c r="D6" s="57">
        <f>Assumptions!C8</f>
        <v/>
      </c>
      <c r="E6" s="57">
        <f>Assumptions!C9</f>
        <v/>
      </c>
      <c r="F6" s="58">
        <f>Assumptions!C66</f>
        <v/>
      </c>
    </row>
    <row r="7">
      <c r="B7" s="56" t="inlineStr">
        <is>
          <t>Variable cost $/mo (AI + infra)</t>
        </is>
      </c>
      <c r="C7" s="59">
        <f>Assumptions!C24+Assumptions!C27</f>
        <v/>
      </c>
      <c r="D7" s="59">
        <f>Assumptions!C25+Assumptions!C27</f>
        <v/>
      </c>
      <c r="E7" s="59">
        <f>Assumptions!C26+Assumptions!C27</f>
        <v/>
      </c>
      <c r="F7" s="58">
        <f>Assumptions!C70</f>
        <v/>
      </c>
    </row>
    <row r="8">
      <c r="B8" s="56" t="inlineStr">
        <is>
          <t>App store fee $/mo (Y2+ 15%)</t>
        </is>
      </c>
      <c r="C8" s="59">
        <f>C6*0.15</f>
        <v/>
      </c>
      <c r="D8" s="59">
        <f>D6*0.15</f>
        <v/>
      </c>
      <c r="E8" s="59">
        <f>E6*0.15</f>
        <v/>
      </c>
      <c r="F8" s="59">
        <f>F6*0.15</f>
        <v/>
      </c>
    </row>
    <row r="9">
      <c r="B9" s="31" t="inlineStr">
        <is>
          <t>Gross margin $/mo (Y2+)</t>
        </is>
      </c>
      <c r="C9" s="34">
        <f>C6-C7-C8</f>
        <v/>
      </c>
      <c r="D9" s="34">
        <f>D6-D7-D8</f>
        <v/>
      </c>
      <c r="E9" s="34">
        <f>E6-E7-E8</f>
        <v/>
      </c>
      <c r="F9" s="60">
        <f>F6-F7-F8</f>
        <v/>
      </c>
    </row>
    <row r="10">
      <c r="B10" s="61" t="inlineStr">
        <is>
          <t>Gross margin %</t>
        </is>
      </c>
      <c r="C10" s="62">
        <f>C9/C6</f>
        <v/>
      </c>
      <c r="D10" s="62">
        <f>D9/D6</f>
        <v/>
      </c>
      <c r="E10" s="62">
        <f>E9/E6</f>
        <v/>
      </c>
      <c r="F10" s="62">
        <f>F9/F6</f>
        <v/>
      </c>
    </row>
    <row r="12">
      <c r="B12" s="7" t="inlineStr">
        <is>
          <t>LTV : CAC</t>
        </is>
      </c>
    </row>
    <row r="13">
      <c r="B13" s="56" t="inlineStr">
        <is>
          <t>Avg lifetime (months)</t>
        </is>
      </c>
      <c r="C13" s="63">
        <f>1/Assumptions!C19</f>
        <v/>
      </c>
    </row>
    <row r="14">
      <c r="B14" s="56" t="inlineStr">
        <is>
          <t>LTV (gross margin × lifetime)</t>
        </is>
      </c>
      <c r="C14" s="64">
        <f>F9*C13</f>
        <v/>
      </c>
    </row>
    <row r="15">
      <c r="B15" s="56" t="inlineStr">
        <is>
          <t>Target CAC (LTV ÷ 3)</t>
        </is>
      </c>
      <c r="C15" s="65">
        <f>C14/3</f>
        <v/>
      </c>
    </row>
    <row r="16">
      <c r="B16" s="56" t="inlineStr">
        <is>
          <t>Acceptable CAC ceiling (LTV ÷ 2)</t>
        </is>
      </c>
      <c r="C16" s="65">
        <f>C14/2</f>
        <v/>
      </c>
    </row>
    <row r="18">
      <c r="B18" s="7" t="inlineStr">
        <is>
          <t>Channel CAC reference (industry benchmarks)</t>
        </is>
      </c>
    </row>
    <row r="19">
      <c r="B19" s="11" t="inlineStr">
        <is>
          <t>Channel</t>
        </is>
      </c>
      <c r="C19" s="11" t="inlineStr">
        <is>
          <t>CAC range</t>
        </is>
      </c>
      <c r="D19" s="11" t="inlineStr">
        <is>
          <t>Y1 priority</t>
        </is>
      </c>
    </row>
    <row r="20">
      <c r="B20" s="56" t="inlineStr">
        <is>
          <t>Word-of-mouth (referral)</t>
        </is>
      </c>
      <c r="C20" s="66" t="inlineStr">
        <is>
          <t>$0</t>
        </is>
      </c>
      <c r="D20" s="56" t="inlineStr">
        <is>
          <t>Build for it</t>
        </is>
      </c>
    </row>
    <row r="21">
      <c r="B21" s="67" t="inlineStr">
        <is>
          <t>Long-form YouTube</t>
        </is>
      </c>
      <c r="C21" s="68" t="inlineStr">
        <is>
          <t>$40-80</t>
        </is>
      </c>
      <c r="D21" s="67" t="inlineStr">
        <is>
          <t>Start week 1</t>
        </is>
      </c>
    </row>
    <row r="22">
      <c r="B22" s="56" t="inlineStr">
        <is>
          <t>TikTok / Instagram Reels</t>
        </is>
      </c>
      <c r="C22" s="66" t="inlineStr">
        <is>
          <t>$30-60</t>
        </is>
      </c>
      <c r="D22" s="56" t="inlineStr">
        <is>
          <t>Start week 1</t>
        </is>
      </c>
    </row>
    <row r="23">
      <c r="B23" s="67" t="inlineStr">
        <is>
          <t>SEO long-tail content</t>
        </is>
      </c>
      <c r="C23" s="68" t="inlineStr">
        <is>
          <t>$50-100</t>
        </is>
      </c>
      <c r="D23" s="67" t="inlineStr">
        <is>
          <t>Start week 2</t>
        </is>
      </c>
    </row>
    <row r="24">
      <c r="B24" s="56" t="inlineStr">
        <is>
          <t>Reddit / forum presence</t>
        </is>
      </c>
      <c r="C24" s="66" t="inlineStr">
        <is>
          <t>$20-40</t>
        </is>
      </c>
      <c r="D24" s="56" t="inlineStr">
        <is>
          <t>Daily</t>
        </is>
      </c>
    </row>
    <row r="25">
      <c r="B25" s="67" t="inlineStr">
        <is>
          <t>Cold email to scraped GCs</t>
        </is>
      </c>
      <c r="C25" s="68" t="inlineStr">
        <is>
          <t>$80-150</t>
        </is>
      </c>
      <c r="D25" s="67" t="inlineStr">
        <is>
          <t>M3+</t>
        </is>
      </c>
    </row>
    <row r="26">
      <c r="B26" s="56" t="inlineStr">
        <is>
          <t>Google Ads (competitor names)</t>
        </is>
      </c>
      <c r="C26" s="66" t="inlineStr">
        <is>
          <t>$200-400</t>
        </is>
      </c>
      <c r="D26" s="56" t="inlineStr">
        <is>
          <t>M6+</t>
        </is>
      </c>
    </row>
    <row r="27">
      <c r="B27" s="67" t="inlineStr">
        <is>
          <t>Meta ads (lookalikes)</t>
        </is>
      </c>
      <c r="C27" s="68" t="inlineStr">
        <is>
          <t>$300-500</t>
        </is>
      </c>
      <c r="D27" s="67" t="inlineStr">
        <is>
          <t>M9+</t>
        </is>
      </c>
    </row>
    <row r="28">
      <c r="B28" s="56" t="inlineStr">
        <is>
          <t>Trade shows</t>
        </is>
      </c>
      <c r="C28" s="66" t="inlineStr">
        <is>
          <t>$500-1,000</t>
        </is>
      </c>
      <c r="D28" s="56" t="inlineStr">
        <is>
          <t>Y2 booth</t>
        </is>
      </c>
    </row>
    <row r="29">
      <c r="B29" s="67" t="inlineStr">
        <is>
          <t>Houzz Pro / Angi directory</t>
        </is>
      </c>
      <c r="C29" s="68" t="inlineStr">
        <is>
          <t>$300-600</t>
        </is>
      </c>
      <c r="D29" s="67" t="inlineStr">
        <is>
          <t>Y2</t>
        </is>
      </c>
    </row>
    <row r="30">
      <c r="B30" s="56" t="inlineStr">
        <is>
          <t>LinkedIn outbound DMs</t>
        </is>
      </c>
      <c r="C30" s="66" t="inlineStr">
        <is>
          <t>Time-cost</t>
        </is>
      </c>
      <c r="D30" s="56" t="inlineStr">
        <is>
          <t>Daily 30 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2">
      <c r="B2" s="36" t="inlineStr">
        <is>
          <t>KPIs to Track Weekly</t>
        </is>
      </c>
    </row>
    <row r="3">
      <c r="B3" s="6" t="inlineStr">
        <is>
          <t>Targets pull from Assumptions tab. Track these instead of waiting for ARR to reveal trajectory.</t>
        </is>
      </c>
    </row>
    <row r="5">
      <c r="B5" s="11" t="inlineStr">
        <is>
          <t>Metric</t>
        </is>
      </c>
      <c r="C5" s="11" t="inlineStr">
        <is>
          <t>Target</t>
        </is>
      </c>
      <c r="D5" s="11" t="inlineStr">
        <is>
          <t>Trigger ↓ (cons)</t>
        </is>
      </c>
      <c r="E5" s="11" t="inlineStr">
        <is>
          <t>OK (real)</t>
        </is>
      </c>
      <c r="F5" s="11" t="inlineStr">
        <is>
          <t>Trigger ↑ (opt)</t>
        </is>
      </c>
    </row>
    <row r="6">
      <c r="B6" s="69" t="inlineStr">
        <is>
          <t>ACQUISITION</t>
        </is>
      </c>
      <c r="C6" s="70" t="n"/>
      <c r="D6" s="70" t="n"/>
      <c r="E6" s="70" t="n"/>
      <c r="F6" s="70" t="n"/>
    </row>
    <row r="7">
      <c r="B7" s="56" t="inlineStr">
        <is>
          <t>Free signups / week</t>
        </is>
      </c>
      <c r="C7" s="71" t="n">
        <v>50</v>
      </c>
      <c r="D7" s="72" t="n">
        <v>20</v>
      </c>
      <c r="E7" s="73" t="n">
        <v>50</v>
      </c>
      <c r="F7" s="74" t="n">
        <v>100</v>
      </c>
    </row>
    <row r="8">
      <c r="B8" s="56" t="inlineStr">
        <is>
          <t>Paid conversions / week</t>
        </is>
      </c>
      <c r="C8" s="71" t="n">
        <v>6</v>
      </c>
      <c r="D8" s="72" t="n">
        <v>2</v>
      </c>
      <c r="E8" s="73" t="n">
        <v>6</v>
      </c>
      <c r="F8" s="74" t="n">
        <v>15</v>
      </c>
    </row>
    <row r="9">
      <c r="B9" s="56" t="inlineStr">
        <is>
          <t>Free → paid conversion rate (30d cohort)</t>
        </is>
      </c>
      <c r="C9" s="75">
        <f>Assumptions!C18</f>
        <v/>
      </c>
      <c r="D9" s="76" t="n">
        <v>0.04</v>
      </c>
      <c r="E9" s="77" t="n">
        <v>0.08500000000000001</v>
      </c>
      <c r="F9" s="78" t="n">
        <v>0.12</v>
      </c>
    </row>
    <row r="10">
      <c r="B10" s="56" t="inlineStr">
        <is>
          <t>Blended CAC (paid channels)</t>
        </is>
      </c>
      <c r="C10" s="71" t="n">
        <v>240</v>
      </c>
      <c r="D10" s="72" t="n">
        <v>400</v>
      </c>
      <c r="E10" s="73" t="n">
        <v>240</v>
      </c>
      <c r="F10" s="74" t="n">
        <v>150</v>
      </c>
    </row>
    <row r="11">
      <c r="B11" s="69" t="inlineStr">
        <is>
          <t>RETENTION</t>
        </is>
      </c>
      <c r="C11" s="70" t="n"/>
      <c r="D11" s="70" t="n"/>
      <c r="E11" s="70" t="n"/>
      <c r="F11" s="70" t="n"/>
    </row>
    <row r="12">
      <c r="B12" s="56" t="inlineStr">
        <is>
          <t>Monthly logo churn</t>
        </is>
      </c>
      <c r="C12" s="75">
        <f>Assumptions!C19</f>
        <v/>
      </c>
      <c r="D12" s="76" t="n">
        <v>0.07000000000000001</v>
      </c>
      <c r="E12" s="77" t="n">
        <v>0.05</v>
      </c>
      <c r="F12" s="78" t="n">
        <v>0.03</v>
      </c>
    </row>
    <row r="13">
      <c r="B13" s="56" t="inlineStr">
        <is>
          <t>Days to first AI estimate</t>
        </is>
      </c>
      <c r="C13" s="71" t="n">
        <v>7</v>
      </c>
      <c r="D13" s="72" t="n">
        <v>14</v>
      </c>
      <c r="E13" s="73" t="n">
        <v>7</v>
      </c>
      <c r="F13" s="74" t="n">
        <v>3</v>
      </c>
    </row>
    <row r="14">
      <c r="B14" s="56" t="inlineStr">
        <is>
          <t>DAU / WAU ratio</t>
        </is>
      </c>
      <c r="C14" s="79" t="n">
        <v>0.4</v>
      </c>
      <c r="D14" s="76" t="n">
        <v>0.2</v>
      </c>
      <c r="E14" s="77" t="n">
        <v>0.4</v>
      </c>
      <c r="F14" s="78" t="n">
        <v>0.6</v>
      </c>
    </row>
    <row r="15">
      <c r="B15" s="69" t="inlineStr">
        <is>
          <t>EXPANSION</t>
        </is>
      </c>
      <c r="C15" s="70" t="n"/>
      <c r="D15" s="70" t="n"/>
      <c r="E15" s="70" t="n"/>
      <c r="F15" s="70" t="n"/>
    </row>
    <row r="16">
      <c r="B16" s="56" t="inlineStr">
        <is>
          <t>Pro → Business upgrade rate / mo</t>
        </is>
      </c>
      <c r="C16" s="79" t="n">
        <v>0.04</v>
      </c>
      <c r="D16" s="76" t="n">
        <v>0.015</v>
      </c>
      <c r="E16" s="77" t="n">
        <v>0.04</v>
      </c>
      <c r="F16" s="78" t="n">
        <v>0.06</v>
      </c>
    </row>
    <row r="17">
      <c r="B17" s="56" t="inlineStr">
        <is>
          <t>Business → Enterprise upgrade / mo</t>
        </is>
      </c>
      <c r="C17" s="79" t="n">
        <v>0.015</v>
      </c>
      <c r="D17" s="76" t="n">
        <v>0.005</v>
      </c>
      <c r="E17" s="77" t="n">
        <v>0.015</v>
      </c>
      <c r="F17" s="78" t="n">
        <v>0.025</v>
      </c>
    </row>
    <row r="18">
      <c r="B18" s="56" t="inlineStr">
        <is>
          <t>Net Revenue Retention</t>
        </is>
      </c>
      <c r="C18" s="71" t="n">
        <v>1</v>
      </c>
      <c r="D18" s="76" t="n">
        <v>0.85</v>
      </c>
      <c r="E18" s="73" t="n">
        <v>1</v>
      </c>
      <c r="F18" s="74" t="n">
        <v>1.1</v>
      </c>
    </row>
    <row r="19">
      <c r="B19" s="69" t="inlineStr">
        <is>
          <t>MONEY</t>
        </is>
      </c>
      <c r="C19" s="70" t="n"/>
      <c r="D19" s="70" t="n"/>
      <c r="E19" s="70" t="n"/>
      <c r="F19" s="70" t="n"/>
    </row>
    <row r="20">
      <c r="B20" s="56" t="inlineStr">
        <is>
          <t>MRR ($)</t>
        </is>
      </c>
      <c r="C20" s="80">
        <f>Realistic!C13*Realistic!C10</f>
        <v/>
      </c>
      <c r="D20" s="81" t="n">
        <v>8000</v>
      </c>
      <c r="E20" s="82" t="n">
        <v>25000</v>
      </c>
      <c r="F20" s="83" t="n">
        <v>60000</v>
      </c>
    </row>
    <row r="21">
      <c r="B21" s="56" t="inlineStr">
        <is>
          <t>ARR ($)</t>
        </is>
      </c>
      <c r="C21" s="80">
        <f>Realistic!C24</f>
        <v/>
      </c>
      <c r="D21" s="81" t="n">
        <v>130000</v>
      </c>
      <c r="E21" s="82" t="n">
        <v>340000</v>
      </c>
      <c r="F21" s="83" t="n">
        <v>810000</v>
      </c>
    </row>
    <row r="22">
      <c r="B22" s="56" t="inlineStr">
        <is>
          <t>Months of runway</t>
        </is>
      </c>
      <c r="C22" s="71" t="inlineStr">
        <is>
          <t>12+</t>
        </is>
      </c>
      <c r="D22" s="72" t="n">
        <v>3</v>
      </c>
      <c r="E22" s="73" t="n">
        <v>12</v>
      </c>
      <c r="F22" s="7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36" t="inlineStr">
        <is>
          <t>Model Notes &amp; Sources</t>
        </is>
      </c>
    </row>
    <row r="4">
      <c r="B4" s="84" t="inlineStr">
        <is>
          <t>APPLE PRICING CAP — IMPORTANT</t>
        </is>
      </c>
    </row>
    <row r="5" ht="60" customHeight="1">
      <c r="B5" s="85" t="inlineStr">
        <is>
          <t>Apple's standard subscription pricing tiers cap at $999.99 per period. The original plan called for Enterprise Annual at $1,499.99/yr (17% off vs $150 monthly × 12), but that tier is not available in App Store Connect without applying for custom pricing tiers (a multi-week process with Apple support). Enterprise Annual was therefore set to $999.99/yr — the highest standard tier — which equates to $83.33/mo effective (44% off vs $149.99 × 12 = $1,799.88). This is a stronger annual discount than originally planned. Net financial impact on this projection: ~3% lower revenue across all years vs the original plan. The blended annual discount in cell C21 (19.7%) captures this — it's a weighted average of 17% (Pro/Business) and 44.4% (Enterprise capped). Update C21 if Apple later approves a custom $1,499.99 Enterprise tier — the model will re-flow.</t>
        </is>
      </c>
    </row>
    <row r="7">
      <c r="B7" s="84" t="inlineStr">
        <is>
          <t>Methodology</t>
        </is>
      </c>
    </row>
    <row r="8" ht="60" customHeight="1">
      <c r="B8" s="85" t="inlineStr">
        <is>
          <t>Numbers use industry benchmarks for residential-construction SaaS (conversion 5-12%, monthly churn 4-7%, CAC ranges per channel) combined with MAGE's actual cost structure verified during the May 2026 pre-launch audit. Cost cap math (Pro 61%, Business 58%, Enterprise 53% gross margin floor) confirmed via curl tests of deployed edge functions and checked against MONTHLY_CAPS in supabase/functions/_shared/auth.ts.</t>
        </is>
      </c>
    </row>
    <row r="10">
      <c r="B10" s="84" t="inlineStr">
        <is>
          <t>Tier mix rationale</t>
        </is>
      </c>
    </row>
    <row r="11" ht="60" customHeight="1">
      <c r="B11" s="85" t="inlineStr">
        <is>
          <t>65% Pro / 25% Business / 10% Enterprise reflects how SMB SaaS lower tiers dominate by user count. Higher tiers carry disproportionate revenue (Enterprise = 10% of users but 27% of revenue at this mix). Adjust mix in Assumptions!C12-C14 to test alternate distributions.</t>
        </is>
      </c>
    </row>
    <row r="13">
      <c r="B13" s="84" t="inlineStr">
        <is>
          <t>Churn rate source</t>
        </is>
      </c>
    </row>
    <row r="14" ht="60" customHeight="1">
      <c r="B14" s="85" t="inlineStr">
        <is>
          <t>5%/mo monthly logo churn is the median for SMB construction SaaS per public data (BuildBook, CompanyCam reports). Realistic scenario uses 5%; Conservative uses 7%; Optimistic uses 3%.</t>
        </is>
      </c>
    </row>
    <row r="16">
      <c r="B16" s="84" t="inlineStr">
        <is>
          <t>App Store fee blend</t>
        </is>
      </c>
    </row>
    <row r="17" ht="60" customHeight="1">
      <c r="B17" s="85" t="inlineStr">
        <is>
          <t>Y1: 30% (all subs are first-year). Y2: 22% blended (mix of new 30% + renewing 15%). Y3: 18% blended (mostly renewing). Web subs via RevenueCat web SDK incur no store fee — current model assumes ~10% of subs use web (conservative; could be higher).</t>
        </is>
      </c>
    </row>
    <row r="19">
      <c r="B19" s="84" t="inlineStr">
        <is>
          <t>Marketing spend rationale</t>
        </is>
      </c>
    </row>
    <row r="20" ht="60" customHeight="1">
      <c r="B20" s="85" t="inlineStr">
        <is>
          <t>Y1 $30K = pure organic + minimal tools. Y2 $130K adds paid ads + 1 trade show booth ($5K). Y3 $330K supports the team scaling, ~$1K/customer-acquired blended CAC budget.</t>
        </is>
      </c>
    </row>
    <row r="22">
      <c r="B22" s="84" t="inlineStr">
        <is>
          <t>Avg-paying-user calculation</t>
        </is>
      </c>
    </row>
    <row r="23" ht="60" customHeight="1">
      <c r="B23" s="85" t="inlineStr">
        <is>
          <t>Avg paying users (used in revenue calc) = EOY × ratio. Y1 ratio 50% reflects steep ramp from 0. Y2 60% reflects partial-year additions. Y3 63% reflects normalized growth distributed across the year.</t>
        </is>
      </c>
    </row>
    <row r="25">
      <c r="B25" s="84" t="inlineStr">
        <is>
          <t>Color coding (industry standard)</t>
        </is>
      </c>
    </row>
    <row r="26" ht="60" customHeight="1">
      <c r="B26" s="85" t="inlineStr">
        <is>
          <t>BLUE = hardcoded input. BLACK = formula. GREEN = cross-sheet link. YELLOW background = key assumption you should review and probably tune for your actual situation.</t>
        </is>
      </c>
    </row>
    <row r="28">
      <c r="B28" s="84" t="inlineStr">
        <is>
          <t>Sensitivity testing</t>
        </is>
      </c>
    </row>
    <row r="29" ht="60" customHeight="1">
      <c r="B29" s="85" t="inlineStr">
        <is>
          <t>The two highest-leverage inputs are: (1) Free → paid conversion rate (Assumptions!C18), and (2) Monthly churn (Assumptions!C19). A 1pp swing in either changes Y3 ARR by ~$300-500K. Try setting churn to 3% and conversion to 12% to see optimistic-equivalent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2026-05-06T18:57:15Z</dcterms:created>
  <dcterms:modified xsi:type="dcterms:W3CDTF">2026-05-06T18:57:15Z</dcterms:modified>
</cp:coreProperties>
</file>